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Model" sheetId="1" r:id="rId1"/>
    <sheet name="ModelImplStatus" sheetId="4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4" i="1"/>
  <c r="L4"/>
  <c r="J4"/>
  <c r="I4"/>
  <c r="L3"/>
  <c r="J3"/>
  <c r="I3"/>
  <c r="G3"/>
  <c r="H17"/>
  <c r="C18"/>
  <c r="G21"/>
  <c r="C19"/>
  <c r="E4"/>
  <c r="E5"/>
  <c r="E6"/>
  <c r="E7"/>
  <c r="E3"/>
  <c r="D6"/>
  <c r="D7"/>
  <c r="G18" s="1"/>
  <c r="C6"/>
  <c r="C7"/>
  <c r="B6"/>
  <c r="B7"/>
  <c r="D5"/>
  <c r="D4"/>
  <c r="D3"/>
  <c r="C5"/>
  <c r="C4"/>
  <c r="C3"/>
  <c r="B5"/>
  <c r="B4"/>
  <c r="B3"/>
</calcChain>
</file>

<file path=xl/sharedStrings.xml><?xml version="1.0" encoding="utf-8"?>
<sst xmlns="http://schemas.openxmlformats.org/spreadsheetml/2006/main" count="54" uniqueCount="21">
  <si>
    <t>Model Implementation progress</t>
  </si>
  <si>
    <t>Entity</t>
  </si>
  <si>
    <t>Entity Interface</t>
  </si>
  <si>
    <t>Dto</t>
  </si>
  <si>
    <t>Dao Interface</t>
  </si>
  <si>
    <t>Dao Impl</t>
  </si>
  <si>
    <t>ReST Service</t>
  </si>
  <si>
    <t>Person</t>
  </si>
  <si>
    <t>Privilege</t>
  </si>
  <si>
    <t>Role</t>
  </si>
  <si>
    <t>Entity Name</t>
  </si>
  <si>
    <t>GAE</t>
  </si>
  <si>
    <t>Classic</t>
  </si>
  <si>
    <t>Service Impl</t>
  </si>
  <si>
    <t>Service Iterface</t>
  </si>
  <si>
    <t>View</t>
  </si>
  <si>
    <t>Y</t>
  </si>
  <si>
    <t>Group</t>
  </si>
  <si>
    <t>User</t>
  </si>
  <si>
    <t>UserApplicationView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</si>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</sst>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3" borderId="8" xfId="0" applyFont="1" applyFill="1" applyBorder="1"/>
    <xf numFmtId="0" fontId="1" fillId="3" borderId="6" xfId="0" applyFont="1" applyFill="1" applyBorder="1"/>
    <xf numFmtId="0" fontId="1" fillId="2" borderId="7" xfId="0" applyFont="1" applyFill="1" applyBorder="1"/>
    <xf numFmtId="0" fontId="1" fillId="3" borderId="6" xfId="0" applyFont="1" applyFill="1" applyBorder="1" applyAlignment="1">
      <alignment horizontal="center" wrapText="1"/>
    </xf>
    <xf numFmtId="0" fontId="1" fillId="3" borderId="9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4" borderId="8" xfId="0" applyFon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defaultRowHeight="15"/>
  <cols>
    <col min="1" max="1" width="30.42578125" bestFit="1" customWidth="1"/>
    <col min="2" max="2" width="14.7109375" bestFit="1" customWidth="1"/>
    <col min="3" max="3" width="12" bestFit="1" customWidth="1"/>
    <col min="5" max="5" width="12.85546875" bestFit="1" customWidth="1"/>
    <col min="6" max="6" width="20" bestFit="1" customWidth="1"/>
    <col min="7" max="7" width="23" bestFit="1" customWidth="1"/>
    <col min="8" max="8" width="8.85546875" bestFit="1" customWidth="1"/>
    <col min="9" max="9" width="16.5703125" customWidth="1"/>
    <col min="10" max="10" width="20.140625" bestFit="1" customWidth="1"/>
    <col min="12" max="12" width="18.140625" bestFit="1" customWidth="1"/>
  </cols>
  <sheetData>
    <row r="1" spans="1:12" ht="16.5" customHeight="1" thickBot="1">
      <c r="A1" s="2" t="s">
        <v>0</v>
      </c>
      <c r="B1" s="5"/>
      <c r="C1" s="5"/>
      <c r="D1" s="5"/>
      <c r="E1" s="6"/>
      <c r="F1" s="6"/>
      <c r="G1" s="28" t="s">
        <v>5</v>
      </c>
      <c r="H1" s="29"/>
      <c r="I1" s="4"/>
      <c r="J1" s="30" t="s">
        <v>13</v>
      </c>
      <c r="K1" s="28"/>
      <c r="L1" s="2"/>
    </row>
    <row r="2" spans="1:12" ht="15.75" thickBot="1">
      <c r="A2" s="7" t="s">
        <v>10</v>
      </c>
      <c r="B2" s="7" t="s">
        <v>2</v>
      </c>
      <c r="C2" s="7" t="s">
        <v>3</v>
      </c>
      <c r="D2" s="8" t="s">
        <v>1</v>
      </c>
      <c r="E2" s="7" t="s">
        <v>4</v>
      </c>
      <c r="F2" s="7" t="s">
        <v>15</v>
      </c>
      <c r="G2" s="27" t="s">
        <v>11</v>
      </c>
      <c r="H2" s="9" t="s">
        <v>12</v>
      </c>
      <c r="I2" s="10" t="s">
        <v>14</v>
      </c>
      <c r="J2" s="27" t="s">
        <v>11</v>
      </c>
      <c r="K2" s="9" t="s">
        <v>12</v>
      </c>
      <c r="L2" s="11" t="s">
        <v>6</v>
      </c>
    </row>
    <row r="3" spans="1:12" ht="15.75" thickBot="1">
      <c r="A3" s="23" t="s">
        <v>7</v>
      </c>
      <c r="B3" s="12" t="str">
        <f>CONCATENATE("I",A3)</f>
        <v>IPerson</v>
      </c>
      <c r="C3" s="13" t="str">
        <f>CONCATENATE(A3,"Dto")</f>
        <v>PersonDto</v>
      </c>
      <c r="D3" s="13" t="str">
        <f>A3</f>
        <v>Person</v>
      </c>
      <c r="E3" s="20" t="str">
        <f>CONCATENATE("I",A3,"Dao")</f>
        <v>IPersonDao</v>
      </c>
      <c r="F3" s="13" t="s">
        <v>19</v>
      </c>
      <c r="G3" s="13" t="str">
        <f>CONCATENATE(A3,"DaoGoogleImpl")</f>
        <v>PersonDaoGoogleImpl</v>
      </c>
      <c r="H3" s="13"/>
      <c r="I3" s="13" t="str">
        <f>CONCATENATE("I",A3,"Service")</f>
        <v>IPersonService</v>
      </c>
      <c r="J3" s="13" t="str">
        <f>CONCATENATE("I",A3,"ServiceImpl")</f>
        <v>IPersonServiceImpl</v>
      </c>
      <c r="K3" s="13"/>
      <c r="L3" s="14" t="str">
        <f>CONCATENATE(A3,"Controller")</f>
        <v>PersonController</v>
      </c>
    </row>
    <row r="4" spans="1:12" ht="15.75" thickBot="1">
      <c r="A4" s="24" t="s">
        <v>8</v>
      </c>
      <c r="B4" s="12" t="str">
        <f>CONCATENATE("I",A4)</f>
        <v>IPrivilege</v>
      </c>
      <c r="C4" s="13" t="str">
        <f>CONCATENATE(A4,"Dto")</f>
        <v>PrivilegeDto</v>
      </c>
      <c r="D4" s="13" t="str">
        <f>A4</f>
        <v>Privilege</v>
      </c>
      <c r="E4" s="20" t="str">
        <f t="shared" ref="E4:E7" si="0">CONCATENATE("I",A4,"Dao")</f>
        <v>IPrivilegeDao</v>
      </c>
      <c r="F4" s="1" t="s">
        <v>20</v>
      </c>
      <c r="G4" s="13" t="str">
        <f>CONCATENATE(A4,"DaoGoogleImpl")</f>
        <v>PrivilegeDaoGoogleImpl</v>
      </c>
      <c r="H4" s="1"/>
      <c r="I4" s="13" t="str">
        <f>CONCATENATE("I",A4,"Service")</f>
        <v>IPrivilegeService</v>
      </c>
      <c r="J4" s="13" t="str">
        <f>CONCATENATE("I",A4,"ServiceImpl")</f>
        <v>IPrivilegeServiceImpl</v>
      </c>
      <c r="K4" s="1"/>
      <c r="L4" s="14" t="str">
        <f>CONCATENATE(A4,"Controller")</f>
        <v>PrivilegeController</v>
      </c>
    </row>
    <row r="5" spans="1:12" ht="15.75" thickBot="1">
      <c r="A5" s="24" t="s">
        <v>9</v>
      </c>
      <c r="B5" s="12" t="str">
        <f>CONCATENATE("I",A5)</f>
        <v>IRole</v>
      </c>
      <c r="C5" s="13" t="str">
        <f>CONCATENATE(A5,"Dto")</f>
        <v>RoleDto</v>
      </c>
      <c r="D5" s="13" t="str">
        <f>A5</f>
        <v>Role</v>
      </c>
      <c r="E5" s="20" t="str">
        <f t="shared" si="0"/>
        <v>IRoleDao</v>
      </c>
      <c r="F5" s="1"/>
      <c r="G5" s="1"/>
      <c r="H5" s="1"/>
      <c r="I5" s="1"/>
      <c r="J5" s="1"/>
      <c r="K5" s="1"/>
      <c r="L5" s="16"/>
    </row>
    <row r="6" spans="1:12" ht="15.75" thickBot="1">
      <c r="A6" s="24" t="s">
        <v>18</v>
      </c>
      <c r="B6" s="12" t="str">
        <f t="shared" ref="B6:B7" si="1">CONCATENATE("I",A6)</f>
        <v>IUser</v>
      </c>
      <c r="C6" s="13" t="str">
        <f t="shared" ref="C6:C7" si="2">CONCATENATE(A6,"Dto")</f>
        <v>UserDto</v>
      </c>
      <c r="D6" s="13" t="str">
        <f t="shared" ref="D6:D7" si="3">A6</f>
        <v>User</v>
      </c>
      <c r="E6" s="20" t="str">
        <f t="shared" si="0"/>
        <v>IUserDao</v>
      </c>
      <c r="F6" s="1"/>
      <c r="G6" s="1"/>
      <c r="H6" s="1"/>
      <c r="I6" s="1"/>
      <c r="J6" s="1"/>
      <c r="K6" s="1"/>
      <c r="L6" s="16"/>
    </row>
    <row r="7" spans="1:12">
      <c r="A7" s="24" t="s">
        <v>17</v>
      </c>
      <c r="B7" s="12" t="str">
        <f t="shared" si="1"/>
        <v>IGroup</v>
      </c>
      <c r="C7" s="13" t="str">
        <f t="shared" si="2"/>
        <v>GroupDto</v>
      </c>
      <c r="D7" s="13" t="str">
        <f t="shared" si="3"/>
        <v>Group</v>
      </c>
      <c r="E7" s="20" t="str">
        <f t="shared" si="0"/>
        <v>IGroupDao</v>
      </c>
      <c r="F7" s="1"/>
      <c r="G7" s="1"/>
      <c r="H7" s="1"/>
      <c r="I7" s="1"/>
      <c r="J7" s="1"/>
      <c r="K7" s="1"/>
      <c r="L7" s="16"/>
    </row>
    <row r="8" spans="1:12">
      <c r="A8" s="24"/>
      <c r="B8" s="15"/>
      <c r="C8" s="1"/>
      <c r="D8" s="1"/>
      <c r="E8" s="1"/>
      <c r="F8" s="1"/>
      <c r="G8" s="1"/>
      <c r="H8" s="1"/>
      <c r="I8" s="1"/>
      <c r="J8" s="1"/>
      <c r="K8" s="1"/>
      <c r="L8" s="16"/>
    </row>
    <row r="9" spans="1:12">
      <c r="A9" s="24"/>
      <c r="B9" s="15"/>
      <c r="C9" s="1"/>
      <c r="D9" s="1"/>
      <c r="E9" s="1"/>
      <c r="F9" s="1"/>
      <c r="G9" s="1"/>
      <c r="H9" s="1"/>
      <c r="I9" s="1"/>
      <c r="J9" s="1"/>
      <c r="K9" s="1"/>
      <c r="L9" s="16"/>
    </row>
    <row r="10" spans="1:12">
      <c r="A10" s="24"/>
      <c r="B10" s="15"/>
      <c r="C10" s="1"/>
      <c r="D10" s="1"/>
      <c r="E10" s="1"/>
      <c r="F10" s="1"/>
      <c r="G10" s="1"/>
      <c r="H10" s="1"/>
      <c r="I10" s="1"/>
      <c r="J10" s="1"/>
      <c r="K10" s="1"/>
      <c r="L10" s="16"/>
    </row>
    <row r="11" spans="1:12">
      <c r="A11" s="24"/>
      <c r="B11" s="15"/>
      <c r="C11" s="1"/>
      <c r="D11" s="1"/>
      <c r="E11" s="1"/>
      <c r="F11" s="1"/>
      <c r="G11" s="1"/>
      <c r="H11" s="1"/>
      <c r="I11" s="1"/>
      <c r="J11" s="1"/>
      <c r="K11" s="1"/>
      <c r="L11" s="16"/>
    </row>
    <row r="12" spans="1:12">
      <c r="A12" s="24"/>
      <c r="B12" s="15"/>
      <c r="C12" s="1"/>
      <c r="D12" s="1"/>
      <c r="E12" s="1"/>
      <c r="F12" s="1"/>
      <c r="G12" s="1"/>
      <c r="H12" s="1"/>
      <c r="I12" s="1"/>
      <c r="J12" s="1"/>
      <c r="K12" s="1"/>
      <c r="L12" s="16"/>
    </row>
    <row r="13" spans="1:12" ht="15.75" thickBot="1">
      <c r="A13" s="25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6" spans="1:12">
      <c r="D16" t="s">
        <v>16</v>
      </c>
    </row>
    <row r="17" spans="1:8">
      <c r="H17">
        <f ca="1">OFFSET(ModelImplStatus!G17,ROW()-1,COLUMN()-1)</f>
        <v>0</v>
      </c>
    </row>
    <row r="18" spans="1:8">
      <c r="C18" t="b">
        <f>IF(AND((ISBLANK(A7)=FALSE), IF((ISBLANK(Model!D16)=FALSE), (Model!D16="Y"),FALSE)),TRUE,FALSE)</f>
        <v>1</v>
      </c>
      <c r="G18" t="b">
        <f>IF(ISBLANK(D7)=TRUE,FALSE,TRUE)</f>
        <v>1</v>
      </c>
    </row>
    <row r="19" spans="1:8">
      <c r="C19" t="b">
        <f>IF(ISBLANK(A8)=TRUE,FALSE,TRUE)</f>
        <v>0</v>
      </c>
    </row>
    <row r="21" spans="1:8">
      <c r="A21" s="6"/>
      <c r="B21" s="26" t="s">
        <v>18</v>
      </c>
      <c r="C21" s="6"/>
      <c r="G21" t="b">
        <f>IF(ISBLANK(D10)=TRUE,FALSE,TRUE)</f>
        <v>0</v>
      </c>
    </row>
  </sheetData>
  <mergeCells count="2">
    <mergeCell ref="G1:H1"/>
    <mergeCell ref="J1:K1"/>
  </mergeCells>
  <conditionalFormatting sqref="B3 E3:E7">
    <cfRule type="expression" dxfId="0" priority="2">
      <formula>"( ISBLANK(A3) == FALSE ) AND (ModelImplStatu+!ModelImplStatus!$B$3 == Y)"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" sqref="C5"/>
    </sheetView>
  </sheetViews>
  <sheetFormatPr defaultRowHeight="15"/>
  <cols>
    <col min="1" max="1" width="30.42578125" bestFit="1" customWidth="1"/>
    <col min="2" max="2" width="14.7109375" bestFit="1" customWidth="1"/>
    <col min="3" max="3" width="12" bestFit="1" customWidth="1"/>
    <col min="5" max="5" width="12.85546875" bestFit="1" customWidth="1"/>
    <col min="6" max="6" width="21.140625" bestFit="1" customWidth="1"/>
    <col min="7" max="7" width="8.85546875" bestFit="1" customWidth="1"/>
    <col min="8" max="8" width="16.5703125" customWidth="1"/>
    <col min="9" max="9" width="17.85546875" bestFit="1" customWidth="1"/>
    <col min="11" max="11" width="16.28515625" bestFit="1" customWidth="1"/>
  </cols>
  <sheetData>
    <row r="1" spans="1:12" ht="16.5" customHeight="1" thickBot="1">
      <c r="A1" s="2" t="s">
        <v>0</v>
      </c>
      <c r="B1" s="5"/>
      <c r="C1" s="5"/>
      <c r="D1" s="5"/>
      <c r="E1" s="3"/>
      <c r="F1" s="30" t="s">
        <v>5</v>
      </c>
      <c r="G1" s="29"/>
      <c r="H1" s="4"/>
      <c r="I1" s="30" t="s">
        <v>13</v>
      </c>
      <c r="J1" s="28"/>
      <c r="K1" s="2"/>
      <c r="L1" s="3"/>
    </row>
    <row r="2" spans="1:12" ht="15.75" thickBot="1">
      <c r="A2" s="7" t="s">
        <v>10</v>
      </c>
      <c r="B2" s="7" t="s">
        <v>2</v>
      </c>
      <c r="C2" s="7" t="s">
        <v>3</v>
      </c>
      <c r="D2" s="8" t="s">
        <v>1</v>
      </c>
      <c r="E2" s="7" t="s">
        <v>4</v>
      </c>
      <c r="F2" s="7" t="s">
        <v>11</v>
      </c>
      <c r="G2" s="9" t="s">
        <v>12</v>
      </c>
      <c r="H2" s="10" t="s">
        <v>14</v>
      </c>
      <c r="I2" s="7" t="s">
        <v>11</v>
      </c>
      <c r="J2" s="9" t="s">
        <v>12</v>
      </c>
      <c r="K2" s="11" t="s">
        <v>6</v>
      </c>
      <c r="L2" s="11" t="s">
        <v>15</v>
      </c>
    </row>
    <row r="3" spans="1:12" ht="15.75" thickBot="1">
      <c r="A3" s="23" t="s">
        <v>7</v>
      </c>
      <c r="B3" s="13" t="s">
        <v>16</v>
      </c>
      <c r="C3" s="13" t="s">
        <v>16</v>
      </c>
      <c r="D3" s="13" t="s">
        <v>16</v>
      </c>
      <c r="E3" s="13" t="s">
        <v>16</v>
      </c>
      <c r="F3" s="13" t="s">
        <v>16</v>
      </c>
      <c r="G3" s="13"/>
      <c r="H3" s="13" t="s">
        <v>16</v>
      </c>
      <c r="I3" s="13" t="s">
        <v>16</v>
      </c>
      <c r="J3" s="13"/>
      <c r="K3" s="13" t="s">
        <v>16</v>
      </c>
      <c r="L3" s="14"/>
    </row>
    <row r="4" spans="1:12" ht="15.75" thickBot="1">
      <c r="A4" s="24" t="s">
        <v>8</v>
      </c>
      <c r="B4" s="13" t="s">
        <v>16</v>
      </c>
      <c r="C4" s="13" t="s">
        <v>16</v>
      </c>
      <c r="D4" s="1"/>
      <c r="E4" s="1"/>
      <c r="F4" s="1"/>
      <c r="G4" s="1"/>
      <c r="H4" s="1"/>
      <c r="I4" s="1"/>
      <c r="J4" s="1"/>
      <c r="K4" s="1"/>
      <c r="L4" s="16"/>
    </row>
    <row r="5" spans="1:12">
      <c r="A5" s="24" t="s">
        <v>9</v>
      </c>
      <c r="B5" s="13" t="s">
        <v>16</v>
      </c>
      <c r="C5" s="13" t="s">
        <v>16</v>
      </c>
      <c r="D5" s="1"/>
      <c r="E5" s="1"/>
      <c r="F5" s="1"/>
      <c r="G5" s="1"/>
      <c r="H5" s="1"/>
      <c r="I5" s="1"/>
      <c r="J5" s="1"/>
      <c r="K5" s="1"/>
      <c r="L5" s="16"/>
    </row>
    <row r="6" spans="1:12">
      <c r="A6" s="24"/>
      <c r="B6" s="21"/>
      <c r="C6" s="1"/>
      <c r="D6" s="1"/>
      <c r="E6" s="1"/>
      <c r="F6" s="1"/>
      <c r="G6" s="1"/>
      <c r="H6" s="1"/>
      <c r="I6" s="1"/>
      <c r="J6" s="1"/>
      <c r="K6" s="1"/>
      <c r="L6" s="16"/>
    </row>
    <row r="7" spans="1:12">
      <c r="A7" s="24"/>
      <c r="B7" s="21"/>
      <c r="C7" s="1"/>
      <c r="D7" s="1"/>
      <c r="E7" s="1"/>
      <c r="F7" s="1"/>
      <c r="G7" s="1"/>
      <c r="H7" s="1"/>
      <c r="I7" s="1"/>
      <c r="J7" s="1"/>
      <c r="K7" s="1"/>
      <c r="L7" s="16"/>
    </row>
    <row r="8" spans="1:12">
      <c r="A8" s="24"/>
      <c r="B8" s="21"/>
      <c r="C8" s="1"/>
      <c r="D8" s="1"/>
      <c r="E8" s="1"/>
      <c r="F8" s="1"/>
      <c r="G8" s="1"/>
      <c r="H8" s="1"/>
      <c r="I8" s="1"/>
      <c r="J8" s="1"/>
      <c r="K8" s="1"/>
      <c r="L8" s="16"/>
    </row>
    <row r="9" spans="1:12">
      <c r="A9" s="24"/>
      <c r="B9" s="21"/>
      <c r="C9" s="1"/>
      <c r="D9" s="1"/>
      <c r="E9" s="1"/>
      <c r="F9" s="1"/>
      <c r="G9" s="1"/>
      <c r="H9" s="1"/>
      <c r="I9" s="1"/>
      <c r="J9" s="1"/>
      <c r="K9" s="1"/>
      <c r="L9" s="16"/>
    </row>
    <row r="10" spans="1:12">
      <c r="A10" s="24"/>
      <c r="B10" s="21"/>
      <c r="C10" s="1"/>
      <c r="D10" s="1"/>
      <c r="E10" s="1"/>
      <c r="F10" s="1"/>
      <c r="G10" s="1"/>
      <c r="H10" s="1"/>
      <c r="I10" s="1"/>
      <c r="J10" s="1"/>
      <c r="K10" s="1"/>
      <c r="L10" s="16"/>
    </row>
    <row r="11" spans="1:12">
      <c r="A11" s="24"/>
      <c r="B11" s="21"/>
      <c r="C11" s="1"/>
      <c r="D11" s="1"/>
      <c r="E11" s="1"/>
      <c r="F11" s="1"/>
      <c r="G11" s="1"/>
      <c r="H11" s="1"/>
      <c r="I11" s="1"/>
      <c r="J11" s="1"/>
      <c r="K11" s="1"/>
      <c r="L11" s="16"/>
    </row>
    <row r="12" spans="1:12">
      <c r="A12" s="24"/>
      <c r="B12" s="21"/>
      <c r="C12" s="1"/>
      <c r="D12" s="1"/>
      <c r="E12" s="1"/>
      <c r="F12" s="1"/>
      <c r="G12" s="1"/>
      <c r="H12" s="1"/>
      <c r="I12" s="1"/>
      <c r="J12" s="1"/>
      <c r="K12" s="1"/>
      <c r="L12" s="16"/>
    </row>
    <row r="13" spans="1:12" ht="15.75" thickBot="1">
      <c r="A13" s="25"/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9"/>
    </row>
  </sheetData>
  <mergeCells count="2">
    <mergeCell ref="F1:G1"/>
    <mergeCell ref="I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ModelImplStatus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2012-01-26T16:20:17Z</dcterms:modified>
</cp:coreProperties>
</file>